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Products" sheetId="1" state="visible" r:id="rId1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  <font>
      <name val="Consolas"/>
      <color rgb="0059595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0" borderId="1" pivotButton="0" quotePrefix="0" xfId="0"/>
    <xf numFmtId="165" fontId="1" fillId="0" borderId="1" pivotButton="0" quotePrefix="0" xfId="0"/>
    <xf numFmtId="3" fontId="1" fillId="0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3" fontId="3" fillId="4" borderId="1" applyAlignment="1" pivotButton="0" quotePrefix="0" xfId="0">
      <alignment horizontal="left"/>
    </xf>
    <xf numFmtId="0" fontId="4" fillId="0" borderId="0" pivotButton="0" quotePrefix="0" xfId="0"/>
    <xf numFmtId="4" fontId="3" fillId="4" borderId="1" applyAlignment="1" pivotButton="0" quotePrefix="0" xfId="0">
      <alignment horizontal="left"/>
    </xf>
    <xf numFmtId="165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8" customWidth="1" min="4" max="4"/>
    <col width="16" customWidth="1" min="5" max="5"/>
    <col width="13" customWidth="1" min="6" max="6"/>
    <col width="3" customWidth="1" min="7" max="7"/>
    <col width="44" customWidth="1" min="8" max="8"/>
    <col width="18" customWidth="1" min="9" max="9"/>
    <col width="34" customWidth="1" min="10" max="10"/>
  </cols>
  <sheetData>
    <row r="1">
      <c r="A1" s="1" t="inlineStr">
        <is>
          <t>Brand</t>
        </is>
      </c>
      <c r="B1" s="1" t="inlineStr">
        <is>
          <t>Device</t>
        </is>
      </c>
      <c r="C1" s="1" t="inlineStr">
        <is>
          <t>Model</t>
        </is>
      </c>
      <c r="D1" s="1" t="inlineStr">
        <is>
          <t>Country of Origin</t>
        </is>
      </c>
      <c r="E1" s="1" t="inlineStr">
        <is>
          <t>Date of Release</t>
        </is>
      </c>
      <c r="F1" s="1" t="inlineStr">
        <is>
          <t>Price (USD)</t>
        </is>
      </c>
      <c r="H1" s="2" t="inlineStr">
        <is>
          <t>Питання</t>
        </is>
      </c>
      <c r="I1" s="2" t="inlineStr">
        <is>
          <t>Відповідь</t>
        </is>
      </c>
      <c r="J1" s="2" t="inlineStr">
        <is>
          <t>Використана формула</t>
        </is>
      </c>
    </row>
    <row r="2">
      <c r="A2" s="3" t="inlineStr">
        <is>
          <t>Apple</t>
        </is>
      </c>
      <c r="B2" s="3" t="inlineStr">
        <is>
          <t>iPhone</t>
        </is>
      </c>
      <c r="C2" s="3" t="inlineStr">
        <is>
          <t>13 Pro Max</t>
        </is>
      </c>
      <c r="D2" s="3" t="inlineStr">
        <is>
          <t>United States</t>
        </is>
      </c>
      <c r="E2" s="4" t="n">
        <v>44463</v>
      </c>
      <c r="F2" s="5" t="n">
        <v>1099</v>
      </c>
    </row>
    <row r="3">
      <c r="A3" s="3" t="inlineStr">
        <is>
          <t>Samsung</t>
        </is>
      </c>
      <c r="B3" s="3" t="inlineStr">
        <is>
          <t>Galaxy</t>
        </is>
      </c>
      <c r="C3" s="3" t="inlineStr">
        <is>
          <t>S21 Ultra</t>
        </is>
      </c>
      <c r="D3" s="3" t="inlineStr">
        <is>
          <t>South Korea</t>
        </is>
      </c>
      <c r="E3" s="4" t="n">
        <v>44225</v>
      </c>
      <c r="F3" s="5" t="n">
        <v>1199</v>
      </c>
      <c r="H3" s="6" t="inlineStr">
        <is>
          <t>1. Ціна пристроїв (стовпчик Price (USD))</t>
        </is>
      </c>
      <c r="I3" s="7" t="n"/>
      <c r="J3" s="7" t="n"/>
    </row>
    <row r="4">
      <c r="A4" s="3" t="inlineStr">
        <is>
          <t>Google</t>
        </is>
      </c>
      <c r="B4" s="3" t="inlineStr">
        <is>
          <t>Pixel</t>
        </is>
      </c>
      <c r="C4" s="3" t="inlineStr">
        <is>
          <t>6 Pro</t>
        </is>
      </c>
      <c r="D4" s="3" t="inlineStr">
        <is>
          <t>United States</t>
        </is>
      </c>
      <c r="E4" s="4" t="n">
        <v>44488</v>
      </c>
      <c r="F4" s="5" t="n">
        <v>899</v>
      </c>
      <c r="H4" s="8" t="inlineStr">
        <is>
          <t>Мінімальна ціна, $</t>
        </is>
      </c>
      <c r="I4" s="9">
        <f>MIN(F2:F31)</f>
        <v>229</v>
      </c>
      <c r="J4" s="10" t="str">
        <f>_xlfn.FORMULATEXT(I4)</f>
        <v>=MIN(F2:F31)</v>
      </c>
    </row>
    <row r="5">
      <c r="A5" s="3" t="inlineStr">
        <is>
          <t>Sony</t>
        </is>
      </c>
      <c r="B5" s="3" t="inlineStr">
        <is>
          <t>PlayStation</t>
        </is>
      </c>
      <c r="C5" s="3" t="inlineStr">
        <is>
          <t>5</t>
        </is>
      </c>
      <c r="D5" s="3" t="inlineStr">
        <is>
          <t>Japan</t>
        </is>
      </c>
      <c r="E5" s="4" t="n">
        <v>44147</v>
      </c>
      <c r="F5" s="5" t="n">
        <v>499</v>
      </c>
      <c r="H5" s="8" t="inlineStr">
        <is>
          <t>Максимальна ціна, $</t>
        </is>
      </c>
      <c r="I5" s="9">
        <f>MAX(F2:F31)</f>
        <v>1999</v>
      </c>
      <c r="J5" s="10" t="str">
        <f>_xlfn.FORMULATEXT(I5)</f>
        <v>=MAX(F2:F31)</v>
      </c>
    </row>
    <row r="6">
      <c r="A6" s="3" t="inlineStr">
        <is>
          <t>Microsoft</t>
        </is>
      </c>
      <c r="B6" s="3" t="inlineStr">
        <is>
          <t>Surface</t>
        </is>
      </c>
      <c r="C6" s="3" t="inlineStr">
        <is>
          <t>Laptop 4</t>
        </is>
      </c>
      <c r="D6" s="3" t="inlineStr">
        <is>
          <t>United States</t>
        </is>
      </c>
      <c r="E6" s="4" t="n">
        <v>44301</v>
      </c>
      <c r="F6" s="5" t="n">
        <v>999</v>
      </c>
      <c r="H6" s="8" t="inlineStr">
        <is>
          <t>Середня ціна, $</t>
        </is>
      </c>
      <c r="I6" s="11">
        <f>AVERAGE(F2:F31)</f>
        <v>1056</v>
      </c>
      <c r="J6" s="10" t="str">
        <f>_xlfn.FORMULATEXT(I6)</f>
        <v>=AVERAGE(F2:F31)</v>
      </c>
    </row>
    <row r="7">
      <c r="A7" s="3" t="inlineStr">
        <is>
          <t>Dell</t>
        </is>
      </c>
      <c r="B7" s="3" t="inlineStr">
        <is>
          <t>XPS</t>
        </is>
      </c>
      <c r="C7" s="3" t="inlineStr">
        <is>
          <t>13</t>
        </is>
      </c>
      <c r="D7" s="3" t="inlineStr">
        <is>
          <t>United States</t>
        </is>
      </c>
      <c r="E7" s="4" t="n">
        <v>44224</v>
      </c>
      <c r="F7" s="5" t="n">
        <v>999</v>
      </c>
    </row>
    <row r="8">
      <c r="A8" s="3" t="inlineStr">
        <is>
          <t>HP</t>
        </is>
      </c>
      <c r="B8" s="3" t="inlineStr">
        <is>
          <t>Spectre</t>
        </is>
      </c>
      <c r="C8" s="3" t="inlineStr">
        <is>
          <t>x360</t>
        </is>
      </c>
      <c r="D8" s="3" t="inlineStr">
        <is>
          <t>United States</t>
        </is>
      </c>
      <c r="E8" s="4" t="n">
        <v>44302</v>
      </c>
      <c r="F8" s="5" t="n">
        <v>1349</v>
      </c>
      <c r="H8" s="6" t="inlineStr">
        <is>
          <t>2. Дата релізу (стовпчик Date of Release)</t>
        </is>
      </c>
      <c r="I8" s="7" t="n"/>
      <c r="J8" s="7" t="n"/>
    </row>
    <row r="9">
      <c r="A9" s="3" t="inlineStr">
        <is>
          <t>Lenovo</t>
        </is>
      </c>
      <c r="B9" s="3" t="inlineStr">
        <is>
          <t>ThinkPad</t>
        </is>
      </c>
      <c r="C9" s="3" t="inlineStr">
        <is>
          <t>X1 Carbon</t>
        </is>
      </c>
      <c r="D9" s="3" t="inlineStr">
        <is>
          <t>China</t>
        </is>
      </c>
      <c r="E9" s="4" t="n">
        <v>44242</v>
      </c>
      <c r="F9" s="5" t="n">
        <v>1429</v>
      </c>
      <c r="H9" s="8" t="inlineStr">
        <is>
          <t>Найбільш рання дата</t>
        </is>
      </c>
      <c r="I9" s="12">
        <f>MIN(E2:E31)</f>
        <v>44034</v>
      </c>
      <c r="J9" s="10" t="str">
        <f>_xlfn.FORMULATEXT(I9)</f>
        <v>=MIN(E2:E31)</v>
      </c>
    </row>
    <row r="10">
      <c r="A10" s="3" t="inlineStr">
        <is>
          <t>Asus</t>
        </is>
      </c>
      <c r="B10" s="3" t="inlineStr">
        <is>
          <t>ROG</t>
        </is>
      </c>
      <c r="C10" s="3" t="inlineStr">
        <is>
          <t>Zephyrus G14</t>
        </is>
      </c>
      <c r="D10" s="3" t="inlineStr">
        <is>
          <t>Taiwan</t>
        </is>
      </c>
      <c r="E10" s="4" t="n">
        <v>44270</v>
      </c>
      <c r="F10" s="5" t="n">
        <v>1499</v>
      </c>
      <c r="H10" s="8" t="inlineStr">
        <is>
          <t>Найбільш пізня дата</t>
        </is>
      </c>
      <c r="I10" s="12">
        <f>MAX(E2:E31)</f>
        <v>44495</v>
      </c>
      <c r="J10" s="10" t="str">
        <f>_xlfn.FORMULATEXT(I10)</f>
        <v>=MAX(E2:E31)</v>
      </c>
    </row>
    <row r="11">
      <c r="A11" s="3" t="inlineStr">
        <is>
          <t>Acer</t>
        </is>
      </c>
      <c r="B11" s="3" t="inlineStr">
        <is>
          <t>Predator</t>
        </is>
      </c>
      <c r="C11" s="3" t="inlineStr">
        <is>
          <t>Helios 300</t>
        </is>
      </c>
      <c r="D11" s="3" t="inlineStr">
        <is>
          <t>Taiwan</t>
        </is>
      </c>
      <c r="E11" s="4" t="n">
        <v>44244</v>
      </c>
      <c r="F11" s="5" t="n">
        <v>1299</v>
      </c>
    </row>
    <row r="12">
      <c r="A12" s="3" t="inlineStr">
        <is>
          <t>Apple</t>
        </is>
      </c>
      <c r="B12" s="3" t="inlineStr">
        <is>
          <t>MacBook</t>
        </is>
      </c>
      <c r="C12" s="3" t="inlineStr">
        <is>
          <t>Pro 14-inch</t>
        </is>
      </c>
      <c r="D12" s="3" t="inlineStr">
        <is>
          <t>United States</t>
        </is>
      </c>
      <c r="E12" s="4" t="n">
        <v>44495</v>
      </c>
      <c r="F12" s="5" t="n">
        <v>1999</v>
      </c>
      <c r="H12" s="6" t="inlineStr">
        <is>
          <t>3. Бренди у датасеті (стовпчик Brand)</t>
        </is>
      </c>
      <c r="I12" s="7" t="n"/>
      <c r="J12" s="7" t="n"/>
    </row>
    <row r="13">
      <c r="A13" s="3" t="inlineStr">
        <is>
          <t>Samsung</t>
        </is>
      </c>
      <c r="B13" s="3" t="inlineStr">
        <is>
          <t>Odyssey</t>
        </is>
      </c>
      <c r="C13" s="3" t="inlineStr">
        <is>
          <t>G9</t>
        </is>
      </c>
      <c r="D13" s="3" t="inlineStr">
        <is>
          <t>South Korea</t>
        </is>
      </c>
      <c r="E13" s="4" t="n">
        <v>44034</v>
      </c>
      <c r="F13" s="5" t="n">
        <v>1699</v>
      </c>
      <c r="H13" s="8" t="inlineStr">
        <is>
          <t>Список брендів (I13:I22)</t>
        </is>
      </c>
      <c r="I13" cm="1" s="13" t="str">
        <f t="array" ref="I13:I22">_xlfn.UNIQUE(A2:A31)</f>
        <v>Apple</v>
      </c>
      <c r="J13" s="10" t="str">
        <f>_xlfn.FORMULATEXT(I13)</f>
        <v>=UNIQUE(A2:A31)</v>
      </c>
    </row>
    <row r="14">
      <c r="A14" s="3" t="inlineStr">
        <is>
          <t>Google</t>
        </is>
      </c>
      <c r="B14" s="3" t="inlineStr">
        <is>
          <t>Pixelbook</t>
        </is>
      </c>
      <c r="C14" s="3" t="inlineStr">
        <is>
          <t>Go</t>
        </is>
      </c>
      <c r="D14" s="3" t="inlineStr">
        <is>
          <t>United States</t>
        </is>
      </c>
      <c r="E14" s="4" t="n">
        <v>44364</v>
      </c>
      <c r="F14" s="5" t="n">
        <v>649</v>
      </c>
      <c r="I14" s="13" t="str">
        <v>Samsung</v>
      </c>
    </row>
    <row r="15">
      <c r="A15" s="3" t="inlineStr">
        <is>
          <t>Sony</t>
        </is>
      </c>
      <c r="B15" s="3" t="inlineStr">
        <is>
          <t>Xperia</t>
        </is>
      </c>
      <c r="C15" s="3" t="inlineStr">
        <is>
          <t>1 III</t>
        </is>
      </c>
      <c r="D15" s="3" t="inlineStr">
        <is>
          <t>Japan</t>
        </is>
      </c>
      <c r="E15" s="4" t="n">
        <v>44427</v>
      </c>
      <c r="F15" s="5" t="n">
        <v>1299</v>
      </c>
      <c r="I15" s="13" t="str">
        <v>Google</v>
      </c>
    </row>
    <row r="16">
      <c r="A16" s="3" t="inlineStr">
        <is>
          <t>Microsoft</t>
        </is>
      </c>
      <c r="B16" s="3" t="inlineStr">
        <is>
          <t>Xbox</t>
        </is>
      </c>
      <c r="C16" s="3" t="inlineStr">
        <is>
          <t>Series X</t>
        </is>
      </c>
      <c r="D16" s="3" t="inlineStr">
        <is>
          <t>United States</t>
        </is>
      </c>
      <c r="E16" s="4" t="n">
        <v>44145</v>
      </c>
      <c r="F16" s="5" t="n">
        <v>499</v>
      </c>
      <c r="I16" s="13" t="str">
        <v>Sony</v>
      </c>
    </row>
    <row r="17">
      <c r="A17" s="3" t="inlineStr">
        <is>
          <t>Dell</t>
        </is>
      </c>
      <c r="B17" s="3" t="inlineStr">
        <is>
          <t>Alienware</t>
        </is>
      </c>
      <c r="C17" s="3" t="inlineStr">
        <is>
          <t>m15 R5</t>
        </is>
      </c>
      <c r="D17" s="3" t="inlineStr">
        <is>
          <t>United States</t>
        </is>
      </c>
      <c r="E17" s="4" t="n">
        <v>44306</v>
      </c>
      <c r="F17" s="5" t="n">
        <v>1999</v>
      </c>
      <c r="I17" s="13" t="str">
        <v>Microsoft</v>
      </c>
    </row>
    <row r="18">
      <c r="A18" s="3" t="inlineStr">
        <is>
          <t>HP</t>
        </is>
      </c>
      <c r="B18" s="3" t="inlineStr">
        <is>
          <t>Pavilion</t>
        </is>
      </c>
      <c r="C18" s="3" t="inlineStr">
        <is>
          <t>x360</t>
        </is>
      </c>
      <c r="D18" s="3" t="inlineStr">
        <is>
          <t>United States</t>
        </is>
      </c>
      <c r="E18" s="4" t="n">
        <v>44330</v>
      </c>
      <c r="F18" s="5" t="n">
        <v>749</v>
      </c>
      <c r="I18" s="13" t="str">
        <v>Dell</v>
      </c>
    </row>
    <row r="19">
      <c r="A19" s="3" t="inlineStr">
        <is>
          <t>Lenovo</t>
        </is>
      </c>
      <c r="B19" s="3" t="inlineStr">
        <is>
          <t>IdeaPad</t>
        </is>
      </c>
      <c r="C19" s="3" t="inlineStr">
        <is>
          <t>5 Pro</t>
        </is>
      </c>
      <c r="D19" s="3" t="inlineStr">
        <is>
          <t>China</t>
        </is>
      </c>
      <c r="E19" s="4" t="n">
        <v>44265</v>
      </c>
      <c r="F19" s="5" t="n">
        <v>999</v>
      </c>
      <c r="I19" s="13" t="str">
        <v>HP</v>
      </c>
    </row>
    <row r="20">
      <c r="A20" s="3" t="inlineStr">
        <is>
          <t>Asus</t>
        </is>
      </c>
      <c r="B20" s="3" t="inlineStr">
        <is>
          <t>ZenBook</t>
        </is>
      </c>
      <c r="C20" s="3" t="inlineStr">
        <is>
          <t>14</t>
        </is>
      </c>
      <c r="D20" s="3" t="inlineStr">
        <is>
          <t>Taiwan</t>
        </is>
      </c>
      <c r="E20" s="4" t="n">
        <v>44211</v>
      </c>
      <c r="F20" s="5" t="n">
        <v>799</v>
      </c>
      <c r="I20" s="13" t="str">
        <v>Lenovo</v>
      </c>
    </row>
    <row r="21">
      <c r="A21" s="3" t="inlineStr">
        <is>
          <t>Acer</t>
        </is>
      </c>
      <c r="B21" s="3" t="inlineStr">
        <is>
          <t>Swift</t>
        </is>
      </c>
      <c r="C21" s="3" t="inlineStr">
        <is>
          <t>3</t>
        </is>
      </c>
      <c r="D21" s="3" t="inlineStr">
        <is>
          <t>Taiwan</t>
        </is>
      </c>
      <c r="E21" s="4" t="n">
        <v>44237</v>
      </c>
      <c r="F21" s="5" t="n">
        <v>699</v>
      </c>
      <c r="I21" s="13" t="str">
        <v>Asus</v>
      </c>
    </row>
    <row r="22">
      <c r="A22" s="3" t="inlineStr">
        <is>
          <t>Apple</t>
        </is>
      </c>
      <c r="B22" s="3" t="inlineStr">
        <is>
          <t>iPad</t>
        </is>
      </c>
      <c r="C22" s="3" t="inlineStr">
        <is>
          <t>Pro 12.9-inch</t>
        </is>
      </c>
      <c r="D22" s="3" t="inlineStr">
        <is>
          <t>United States</t>
        </is>
      </c>
      <c r="E22" s="4" t="n">
        <v>44337</v>
      </c>
      <c r="F22" s="5" t="n">
        <v>1099</v>
      </c>
      <c r="I22" s="13" t="str">
        <v>Acer</v>
      </c>
    </row>
    <row r="23">
      <c r="A23" s="3" t="inlineStr">
        <is>
          <t>Samsung</t>
        </is>
      </c>
      <c r="B23" s="3" t="inlineStr">
        <is>
          <t>Galaxy</t>
        </is>
      </c>
      <c r="C23" s="3" t="inlineStr">
        <is>
          <t>Tab S7+</t>
        </is>
      </c>
      <c r="D23" s="3" t="inlineStr">
        <is>
          <t>South Korea</t>
        </is>
      </c>
      <c r="E23" s="4" t="n">
        <v>44064</v>
      </c>
      <c r="F23" s="5" t="n">
        <v>849</v>
      </c>
    </row>
    <row r="24">
      <c r="A24" s="3" t="inlineStr">
        <is>
          <t>Google</t>
        </is>
      </c>
      <c r="B24" s="3" t="inlineStr">
        <is>
          <t>Nest</t>
        </is>
      </c>
      <c r="C24" s="3" t="inlineStr">
        <is>
          <t>Hub Max</t>
        </is>
      </c>
      <c r="D24" s="3" t="inlineStr">
        <is>
          <t>United States</t>
        </is>
      </c>
      <c r="E24" s="4" t="n">
        <v>44285</v>
      </c>
      <c r="F24" s="5" t="n">
        <v>229</v>
      </c>
      <c r="H24" s="6" t="inlineStr">
        <is>
          <t>4. Кількість моделей пристроїв</t>
        </is>
      </c>
      <c r="I24" s="7" t="n"/>
      <c r="J24" s="7" t="n"/>
    </row>
    <row r="25">
      <c r="A25" s="3" t="inlineStr">
        <is>
          <t>Sony</t>
        </is>
      </c>
      <c r="B25" s="3" t="inlineStr">
        <is>
          <t>WH</t>
        </is>
      </c>
      <c r="C25" s="3" t="inlineStr">
        <is>
          <t>1000XM4</t>
        </is>
      </c>
      <c r="D25" s="3" t="inlineStr">
        <is>
          <t>Malaysia</t>
        </is>
      </c>
      <c r="E25" s="4" t="n">
        <v>44049</v>
      </c>
      <c r="F25" s="5" t="n">
        <v>349</v>
      </c>
      <c r="H25" s="8" t="inlineStr">
        <is>
          <t>Всього моделей (рядків з моделлю)</t>
        </is>
      </c>
      <c r="I25" s="13">
        <f>COUNTA(C2:C31)</f>
        <v>30</v>
      </c>
      <c r="J25" s="10" t="str">
        <f>_xlfn.FORMULATEXT(I25)</f>
        <v>=COUNTA(C2:C31)</v>
      </c>
    </row>
    <row r="26">
      <c r="A26" s="3" t="inlineStr">
        <is>
          <t>Microsoft</t>
        </is>
      </c>
      <c r="B26" s="3" t="inlineStr">
        <is>
          <t>Surface</t>
        </is>
      </c>
      <c r="C26" s="3" t="inlineStr">
        <is>
          <t>Pro 8</t>
        </is>
      </c>
      <c r="D26" s="3" t="inlineStr">
        <is>
          <t>United States</t>
        </is>
      </c>
      <c r="E26" s="4" t="n">
        <v>44474</v>
      </c>
      <c r="F26" s="5" t="n">
        <v>899</v>
      </c>
    </row>
    <row r="27">
      <c r="A27" s="3" t="inlineStr">
        <is>
          <t>Dell</t>
        </is>
      </c>
      <c r="B27" s="3" t="inlineStr">
        <is>
          <t>UltraSharp</t>
        </is>
      </c>
      <c r="C27" s="3" t="inlineStr">
        <is>
          <t>U2720Q</t>
        </is>
      </c>
      <c r="D27" s="3" t="inlineStr">
        <is>
          <t>China</t>
        </is>
      </c>
      <c r="E27" s="4" t="n">
        <v>44190</v>
      </c>
      <c r="F27" s="5" t="n">
        <v>499</v>
      </c>
      <c r="H27" s="6" t="inlineStr">
        <is>
          <t>5. Країни походження (стовпчик Country of Origin)</t>
        </is>
      </c>
      <c r="I27" s="7" t="n"/>
      <c r="J27" s="7" t="n"/>
    </row>
    <row r="28">
      <c r="A28" s="3" t="inlineStr">
        <is>
          <t>HP</t>
        </is>
      </c>
      <c r="B28" s="3" t="inlineStr">
        <is>
          <t>Elite</t>
        </is>
      </c>
      <c r="C28" s="3" t="inlineStr">
        <is>
          <t>Dragonfly</t>
        </is>
      </c>
      <c r="D28" s="3" t="inlineStr">
        <is>
          <t>United States</t>
        </is>
      </c>
      <c r="E28" s="4" t="n">
        <v>44375</v>
      </c>
      <c r="F28" s="5" t="n">
        <v>1799</v>
      </c>
      <c r="H28" s="8" t="inlineStr">
        <is>
          <t>Кількість унікальних країн</t>
        </is>
      </c>
      <c r="I28" cm="1" s="13">
        <f t="array" ref="I28">COUNTA(_xlfn.UNIQUE(D2:D31))</f>
        <v>6</v>
      </c>
      <c r="J28" s="10" t="str">
        <f>_xlfn.FORMULATEXT(I28)</f>
        <v>=COUNTA(UNIQUE(D2:D31))</v>
      </c>
    </row>
    <row r="29">
      <c r="A29" s="3" t="inlineStr">
        <is>
          <t>Lenovo</t>
        </is>
      </c>
      <c r="B29" s="3" t="inlineStr">
        <is>
          <t>Legion</t>
        </is>
      </c>
      <c r="C29" s="3" t="inlineStr">
        <is>
          <t>7i</t>
        </is>
      </c>
      <c r="D29" s="3" t="inlineStr">
        <is>
          <t>China</t>
        </is>
      </c>
      <c r="E29" s="4" t="n">
        <v>44291</v>
      </c>
      <c r="F29" s="5" t="n">
        <v>1499</v>
      </c>
      <c r="H29" s="8" t="inlineStr">
        <is>
          <t>Чи вірно, що країн більше ніж 5?</t>
        </is>
      </c>
      <c r="I29" s="13" t="b">
        <f>I28&gt;5</f>
        <v>1</v>
      </c>
      <c r="J29" s="10" t="str">
        <f>_xlfn.FORMULATEXT(I29)</f>
        <v>=I28&gt;5</v>
      </c>
    </row>
    <row r="30">
      <c r="A30" s="3" t="inlineStr">
        <is>
          <t>Asus</t>
        </is>
      </c>
      <c r="B30" s="3" t="inlineStr">
        <is>
          <t>TUF</t>
        </is>
      </c>
      <c r="C30" s="3" t="inlineStr">
        <is>
          <t>Gaming A15</t>
        </is>
      </c>
      <c r="D30" s="3" t="inlineStr">
        <is>
          <t>Taiwan</t>
        </is>
      </c>
      <c r="E30" s="4" t="n">
        <v>44275</v>
      </c>
      <c r="F30" s="5" t="n">
        <v>1199</v>
      </c>
      <c r="H30" s="8" t="inlineStr">
        <is>
          <t>Список країн (I30:I35)</t>
        </is>
      </c>
      <c r="I30" cm="1" s="13" t="str">
        <f t="array" ref="I30:I35">_xlfn.UNIQUE(D2:D31)</f>
        <v>United States</v>
      </c>
      <c r="J30" s="10" t="str">
        <f>_xlfn.FORMULATEXT(I30)</f>
        <v>=UNIQUE(D2:D31)</v>
      </c>
    </row>
    <row r="31">
      <c r="A31" s="3" t="inlineStr">
        <is>
          <t>Acer</t>
        </is>
      </c>
      <c r="B31" s="3" t="inlineStr">
        <is>
          <t>Aspire</t>
        </is>
      </c>
      <c r="C31" s="3" t="inlineStr">
        <is>
          <t>5</t>
        </is>
      </c>
      <c r="D31" s="3" t="inlineStr">
        <is>
          <t>Taiwan</t>
        </is>
      </c>
      <c r="E31" s="4" t="n">
        <v>44226</v>
      </c>
      <c r="F31" s="5" t="n">
        <v>599</v>
      </c>
      <c r="I31" s="13" t="str">
        <v>South Korea</v>
      </c>
    </row>
    <row r="32">
      <c r="I32" s="13" t="str">
        <v>Japan</v>
      </c>
    </row>
    <row r="33">
      <c r="I33" s="13" t="str">
        <v>China</v>
      </c>
    </row>
    <row r="34">
      <c r="I34" s="13" t="str">
        <v>Taiwan</v>
      </c>
    </row>
    <row r="35">
      <c r="I35" s="13" t="str">
        <v>Malaysia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2026-10-11T10:57:09Z</dcterms:created>
  <dcterms:modified xmlns:dcterms="http://purl.org/dc/terms/" xmlns:xsi="http://www.w3.org/2001/XMLSchema-instance" xsi:type="dcterms:W3CDTF">2026-10-11T10:57:09Z</dcterms:modified>
</cp:coreProperties>
</file>